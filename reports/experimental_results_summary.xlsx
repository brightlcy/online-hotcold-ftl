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7c8616130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669964821d4554"/>
    <x:sheet xmlns:r="http://schemas.openxmlformats.org/officeDocument/2006/relationships" name="Workload" sheetId="2" r:id="R6d56eaaedf7f448f"/>
    <x:sheet xmlns:r="http://schemas.openxmlformats.org/officeDocument/2006/relationships" name="Policy Results" sheetId="3" r:id="R93bfc5d9f5c84ae9"/>
    <x:sheet xmlns:r="http://schemas.openxmlformats.org/officeDocument/2006/relationships" name="Threshold" sheetId="4" r:id="R4cb99be439f64102"/>
    <x:sheet xmlns:r="http://schemas.openxmlformats.org/officeDocument/2006/relationships" name="Validation" sheetId="5" r:id="R0741c9f5fb75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.00"/>
    <x:numFmt numFmtId="202" formatCode="#,##0"/>
    <x:numFmt numFmtId="203" formatCode="0.000"/>
    <x:numFmt numFmtId="204" formatCode="0.0000"/>
  </x:numFmts>
  <x:fonts count="6">
    <x:font>
      <x:sz val="11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2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</x:fills>
  <x:borders count="20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14" xfId="0" applyNumberFormat="1" applyFont="1" applyFill="1" applyBorder="1" applyAlignment="1">
      <x:alignment horizontal="center"/>
    </x:xf>
    <x:xf numFmtId="0" fontId="4" fillId="5" borderId="15" xfId="0" applyNumberFormat="1" applyFont="1" applyFill="1" applyBorder="1" applyAlignment="1">
      <x:alignment horizontal="center"/>
    </x:xf>
    <x:xf numFmtId="0" fontId="4" fillId="5" borderId="16" xfId="0" applyNumberFormat="1" applyFont="1" applyFill="1" applyBorder="1" applyAlignment="1">
      <x:alignment horizontal="center"/>
    </x:xf>
    <x:xf numFmtId="0" fontId="4" fillId="5" borderId="17" xfId="0" applyNumberFormat="1" applyFont="1" applyFill="1" applyBorder="1" applyAlignment="1">
      <x:alignment horizontal="center"/>
    </x:xf>
    <x:xf numFmtId="0" fontId="4" fillId="5" borderId="18" xfId="0" applyNumberFormat="1" applyFont="1" applyFill="1" applyBorder="1" applyAlignment="1">
      <x:alignment horizontal="center"/>
    </x:xf>
    <x:xf numFmtId="0" fontId="4" fillId="5" borderId="19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horizontal="center" vertical="center"/>
    </x:xf>
    <x:xf numFmtId="0" fontId="4" fillId="5" borderId="17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731c133d64a9a" /><Relationship Type="http://schemas.openxmlformats.org/officeDocument/2006/relationships/theme" Target="/xl/theme/theme1.xml" Id="Re287b43260c64ae1" /><Relationship Type="http://schemas.openxmlformats.org/officeDocument/2006/relationships/sharedStrings" Target="/xl/sharedStrings.xml" Id="R2be3583627d94dba" /><Relationship Type="http://schemas.openxmlformats.org/officeDocument/2006/relationships/worksheet" Target="/xl/worksheets/sheet1.xml" Id="R1a669964821d4554" /><Relationship Type="http://schemas.openxmlformats.org/officeDocument/2006/relationships/worksheet" Target="/xl/worksheets/sheet2.xml" Id="R6d56eaaedf7f448f" /><Relationship Type="http://schemas.openxmlformats.org/officeDocument/2006/relationships/worksheet" Target="/xl/worksheets/sheet3.xml" Id="R93bfc5d9f5c84ae9" /><Relationship Type="http://schemas.openxmlformats.org/officeDocument/2006/relationships/worksheet" Target="/xl/worksheets/sheet4.xml" Id="R4cb99be439f64102" /><Relationship Type="http://schemas.openxmlformats.org/officeDocument/2006/relationships/worksheet" Target="/xl/worksheets/sheet5.xml" Id="R0741c9f5fb7540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02e90977d1461a" /><Relationship Type="http://schemas.openxmlformats.org/officeDocument/2006/relationships/chart" Target="/xl/drawings/charts/chart2.xml" Id="Rad0b685806424a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Workload별 Baseline / Proposed WAF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Baseline WAF</c:v>
          </c:tx>
          <c:cat>
            <c:strRef>
              <c:f>'Dashboard'!$J$11:$J$14</c:f>
              <c:strCache>
                <c:ptCount val="0"/>
              </c:strCache>
            </c:strRef>
          </c:cat>
          <c:val>
            <c:numRef>
              <c:f>'Dashboard'!$K$11:$K$14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Proposed WAF</c:v>
          </c:tx>
          <c:cat>
            <c:strRef>
              <c:f>'Dashboard'!$J$11:$J$14</c:f>
              <c:strCache>
                <c:ptCount val="0"/>
              </c:strCache>
            </c:strRef>
          </c:cat>
          <c:val>
            <c:numRef>
              <c:f>'Dashboard'!$L$11:$L$14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Workload별 WAF 감소율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WAF Reduction</c:v>
          </c:tx>
          <c:cat>
            <c:strRef>
              <c:f>'Dashboard'!$J$18:$J$21</c:f>
              <c:strCache>
                <c:ptCount val="0"/>
              </c:strCache>
            </c:strRef>
          </c:cat>
          <c:val>
            <c:numRef>
              <c:f>'Dashboard'!$K$18:$K$21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02e90977d1461a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0b685806424a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loadTable" displayName="WorkloadTable" ref="A1:L5" headerRowCount="1">
  <x:tableColumns count="12">
    <x:tableColumn id="1" name="Workload"/>
    <x:tableColumn id="2" name="Requests"/>
    <x:tableColumn id="3" name="Duration (s)"/>
    <x:tableColumn id="4" name="Write Req Ratio"/>
    <x:tableColumn id="5" name="Write Page Ratio"/>
    <x:tableColumn id="6" name="Overwrite Page Ratio"/>
    <x:tableColumn id="7" name="Overwrite Req Ratio"/>
    <x:tableColumn id="8" name="Sequential Ratio"/>
    <x:tableColumn id="9" name="Avg Req Pages"/>
    <x:tableColumn id="10" name="P95 Req Pages"/>
    <x:tableColumn id="11" name="Distinct Written Pages"/>
    <x:tableColumn id="12" name="Max Window IOPS"/>
  </x:tableColumns>
  <x:tableStyleInfo name="TableStyleMedium2" showRowStripes="1"/>
</x:table>
</file>

<file path=xl/tables/table2.xml><?xml version="1.0" encoding="utf-8"?>
<x:table xmlns:x="http://schemas.openxmlformats.org/spreadsheetml/2006/main" id="2" name="PolicyResultsTable" displayName="PolicyResultsTable" ref="A1:G49" headerRowCount="1">
  <x:tableColumns count="7">
    <x:tableColumn id="1" name="Workload"/>
    <x:tableColumn id="2" name="Metric"/>
    <x:tableColumn id="3" name="Baseline"/>
    <x:tableColumn id="4" name="Proposed"/>
    <x:tableColumn id="5" name="Absolute Change"/>
    <x:tableColumn id="6" name="Percent Change"/>
    <x:tableColumn id="7" name="Improvement"/>
  </x:tableColumns>
  <x:tableStyleInfo name="TableStyleMedium2" showRowStripes="1"/>
</x:table>
</file>

<file path=xl/tables/table3.xml><?xml version="1.0" encoding="utf-8"?>
<x:table xmlns:x="http://schemas.openxmlformats.org/spreadsheetml/2006/main" id="3" name="ThresholdTable" displayName="ThresholdTable" ref="A1:F28" headerRowCount="1">
  <x:tableColumns count="6">
    <x:tableColumn id="1" name="Threshold"/>
    <x:tableColumn id="2" name="Metric"/>
    <x:tableColumn id="3" name="Baseline"/>
    <x:tableColumn id="4" name="Proposed"/>
    <x:tableColumn id="5" name="Percent Change"/>
    <x:tableColumn id="6" name="Improvement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Table" displayName="ValidationTable" ref="A1:M5" headerRowCount="1">
  <x:tableColumns count="13">
    <x:tableColumn id="1" name="Workload"/>
    <x:tableColumn id="2" name="Hot Host Writes"/>
    <x:tableColumn id="3" name="Cold Host Writes"/>
    <x:tableColumn id="4" name="Hot Write Share"/>
    <x:tableColumn id="5" name="Hot GC Migration"/>
    <x:tableColumn id="6" name="Cold GC Migration"/>
    <x:tableColumn id="7" name="Fallback Pages"/>
    <x:tableColumn id="8" name="Promotions"/>
    <x:tableColumn id="9" name="Demotions"/>
    <x:tableColumn id="10" name="Final Hot LPNs"/>
    <x:tableColumn id="11" name="Hot Blocks"/>
    <x:tableColumn id="12" name="Cold Blocks"/>
    <x:tableColumn id="13" name="Mixed Bloc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4313337d2447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257ab204b24b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8e6273a4e347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cd2d37195045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93e762f0214eb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0" max="10" width="2" hidden="0" customWidth="1"/>
    <x:col min="11" max="11" width="2" hidden="0" customWidth="1"/>
    <x:col min="12" max="12" width="2" hidden="0" customWidth="1"/>
  </x:cols>
  <x:sheetData>
    <x:row r="1">
      <x:c r="A1" s="51" t="str">
        <x:v>Online Hot/Cold FTL 실험 결과 대시보드</x:v>
      </x:c>
      <x:c r="B1" s="51"/>
      <x:c r="C1" s="51"/>
      <x:c r="D1" s="51"/>
      <x:c r="E1" s="51"/>
      <x:c r="F1" s="51"/>
      <x:c r="G1" s="51"/>
      <x:c r="H1" s="51"/>
    </x:row>
    <x:row r="2">
      <x:c r="A2" s="51"/>
      <x:c r="B2" s="51"/>
      <x:c r="C2" s="51"/>
      <x:c r="D2" s="51"/>
      <x:c r="E2" s="51"/>
      <x:c r="F2" s="51"/>
      <x:c r="G2" s="51"/>
      <x:c r="H2" s="51"/>
    </x:row>
    <x:row r="4">
      <x:c r="A4" s="57" t="str">
        <x:v>핵심 성과</x:v>
      </x:c>
      <x:c r="B4" s="57"/>
      <x:c r="C4" s="57"/>
      <x:c r="D4" s="57"/>
      <x:c r="E4" s="57"/>
      <x:c r="F4" s="57"/>
      <x:c r="G4" s="57"/>
      <x:c r="H4" s="57"/>
    </x:row>
    <x:row r="5">
      <x:c r="A5" s="100" t="str">
        <x:v>단위 테스트
130</x:v>
      </x:c>
      <x:c r="B5" s="101"/>
      <x:c r="C5" s="100" t="str">
        <x:v>Alibaba Pilot 요청
525,559,379</x:v>
      </x:c>
      <x:c r="D5" s="101"/>
      <x:c r="E5" s="100" t="str">
        <x:v>최대 Migration 감소
47.51%</x:v>
      </x:c>
      <x:c r="F5" s="101"/>
      <x:c r="G5" s="100" t="str">
        <x:v>최대 WAF 감소
34.03%</x:v>
      </x:c>
      <x:c r="H5" s="101"/>
    </x:row>
    <x:row r="6">
      <x:c r="A6" s="102"/>
      <x:c r="B6" s="103"/>
      <x:c r="C6" s="102"/>
      <x:c r="D6" s="103"/>
      <x:c r="E6" s="102"/>
      <x:c r="F6" s="103"/>
      <x:c r="G6" s="102"/>
      <x:c r="H6" s="103"/>
    </x:row>
    <x:row r="7">
      <x:c r="A7" s="104"/>
      <x:c r="B7" s="105"/>
      <x:c r="C7" s="104"/>
      <x:c r="D7" s="105"/>
      <x:c r="E7" s="104"/>
      <x:c r="F7" s="105"/>
      <x:c r="G7" s="104"/>
      <x:c r="H7" s="105"/>
    </x:row>
    <x:row r="9">
      <x:c r="A9" s="57" t="str">
        <x:v>최종 Workload별 핵심 결과</x:v>
      </x:c>
      <x:c r="B9" s="57"/>
      <x:c r="C9" s="57"/>
      <x:c r="D9" s="57"/>
      <x:c r="E9" s="57"/>
      <x:c r="F9" s="57"/>
      <x:c r="G9" s="57"/>
      <x:c r="H9" s="57"/>
    </x:row>
    <x:row r="10">
      <x:c r="A10" s="30" t="str">
        <x:v>Workload</x:v>
      </x:c>
      <x:c r="B10" s="31" t="str">
        <x:v>Overwrite</x:v>
      </x:c>
      <x:c r="C10" s="31" t="str">
        <x:v>Baseline WAF</x:v>
      </x:c>
      <x:c r="D10" s="31" t="str">
        <x:v>Proposed WAF</x:v>
      </x:c>
      <x:c r="E10" s="31" t="str">
        <x:v>WAF 감소</x:v>
      </x:c>
      <x:c r="F10" s="31" t="str">
        <x:v>Migration 감소</x:v>
      </x:c>
      <x:c r="G10" s="31" t="str">
        <x:v>p99 감소</x:v>
      </x:c>
      <x:c r="H10" s="32" t="str">
        <x:v>Spillover 감소</x:v>
      </x:c>
      <x:c r="J10" t="str">
        <x:v>Workload</x:v>
      </x:c>
      <x:c r="K10" t="str">
        <x:v>Baseline WAF</x:v>
      </x:c>
      <x:c r="L10" t="str">
        <x:v>Proposed WAF</x:v>
      </x:c>
    </x:row>
    <x:row r="11">
      <x:c r="A11" s="33" t="str">
        <x:v>MSR prxy_1</x:v>
      </x:c>
      <x:c r="B11" s="35" t="n">
        <x:v>0.8327239732059459</x:v>
      </x:c>
      <x:c r="C11" s="114" t="n">
        <x:v>2.3935932676825638</x:v>
      </x:c>
      <x:c r="D11" s="114" t="n">
        <x:v>2.026945282129291</x:v>
      </x:c>
      <x:c r="E11" s="35" t="n">
        <x:v>0.15317890073623688</x:v>
      </x:c>
      <x:c r="F11" s="35" t="n">
        <x:v>0.2630954052777388</x:v>
      </x:c>
      <x:c r="G11" s="35" t="n">
        <x:v>0.2137961769633516</x:v>
      </x:c>
      <x:c r="H11" s="35" t="n">
        <x:v>0.21463686418458314</x:v>
      </x:c>
      <x:c r="J11" t="str">
        <x:v>MSR prxy_1</x:v>
      </x:c>
      <x:c r="K11" t="n">
        <x:v>2.3935932677</x:v>
      </x:c>
      <x:c r="L11" t="n">
        <x:v>2.0269452821</x:v>
      </x:c>
    </x:row>
    <x:row r="12">
      <x:c r="A12" s="33" t="str">
        <x:v>Alibaba dev4</x:v>
      </x:c>
      <x:c r="B12" s="35" t="n">
        <x:v>0.8765316890660294</x:v>
      </x:c>
      <x:c r="C12" s="114" t="n">
        <x:v>3.524241023538954</x:v>
      </x:c>
      <x:c r="D12" s="114" t="n">
        <x:v>2.3248532630973044</x:v>
      </x:c>
      <x:c r="E12" s="35" t="n">
        <x:v>0.34032512317709035</x:v>
      </x:c>
      <x:c r="F12" s="35" t="n">
        <x:v>0.4751478758395755</x:v>
      </x:c>
      <x:c r="G12" s="35" t="n">
        <x:v>0.08631761470709048</x:v>
      </x:c>
      <x:c r="H12" s="35" t="n">
        <x:v>0.3537046163955972</x:v>
      </x:c>
      <x:c r="J12" t="str">
        <x:v>Alibaba dev4</x:v>
      </x:c>
      <x:c r="K12" t="n">
        <x:v>3.5242410235</x:v>
      </x:c>
      <x:c r="L12" t="n">
        <x:v>2.3248532631</x:v>
      </x:c>
    </x:row>
    <x:row r="13">
      <x:c r="A13" s="33" t="str">
        <x:v>Alibaba dev49</x:v>
      </x:c>
      <x:c r="B13" s="35" t="n">
        <x:v>0.46942947321791134</x:v>
      </x:c>
      <x:c r="C13" s="114" t="n">
        <x:v>2.099196168186349</x:v>
      </x:c>
      <x:c r="D13" s="114" t="n">
        <x:v>1.910512569677729</x:v>
      </x:c>
      <x:c r="E13" s="35" t="n">
        <x:v>0.08988373805561853</x:v>
      </x:c>
      <x:c r="F13" s="35" t="n">
        <x:v>0.17165598277143182</x:v>
      </x:c>
      <x:c r="G13" s="35" t="n">
        <x:v>0.007751236637918319</x:v>
      </x:c>
      <x:c r="H13" s="35" t="n">
        <x:v>0.014435130549294704</x:v>
      </x:c>
      <x:c r="J13" t="str">
        <x:v>Alibaba dev49</x:v>
      </x:c>
      <x:c r="K13" t="n">
        <x:v>2.0991961682</x:v>
      </x:c>
      <x:c r="L13" t="n">
        <x:v>1.9105125697</x:v>
      </x:c>
    </x:row>
    <x:row r="14">
      <x:c r="A14" s="33" t="str">
        <x:v>Alibaba dev740</x:v>
      </x:c>
      <x:c r="B14" s="35" t="n">
        <x:v>0.1444559585492228</x:v>
      </x:c>
      <x:c r="C14" s="114" t="n">
        <x:v>1</x:v>
      </x:c>
      <x:c r="D14" s="114" t="n">
        <x:v>1</x:v>
      </x:c>
      <x:c r="E14" s="35" t="n">
        <x:v>0</x:v>
      </x:c>
      <x:c r="F14" s="35" t="n">
        <x:v>0</x:v>
      </x:c>
      <x:c r="G14" s="35" t="n">
        <x:v>0</x:v>
      </x:c>
      <x:c r="H14" s="35" t="n">
        <x:v>0</x:v>
      </x:c>
      <x:c r="J14" t="str">
        <x:v>Alibaba dev740</x:v>
      </x:c>
      <x:c r="K14" t="n">
        <x:v>1</x:v>
      </x:c>
      <x:c r="L14" t="n">
        <x:v>1</x:v>
      </x:c>
    </x:row>
    <x:row r="17">
      <x:c r="J17" t="str">
        <x:v>Workload</x:v>
      </x:c>
      <x:c r="K17" t="str">
        <x:v>WAF Reduction</x:v>
      </x:c>
    </x:row>
    <x:row r="18">
      <x:c r="J18" t="str">
        <x:v>MSR prxy_1</x:v>
      </x:c>
      <x:c r="K18" s="24" t="n">
        <x:v>0.1531789007</x:v>
      </x:c>
    </x:row>
    <x:row r="19">
      <x:c r="J19" t="str">
        <x:v>Alibaba dev4</x:v>
      </x:c>
      <x:c r="K19" s="24" t="n">
        <x:v>0.3403251232</x:v>
      </x:c>
    </x:row>
    <x:row r="20">
      <x:c r="J20" t="str">
        <x:v>Alibaba dev49</x:v>
      </x:c>
      <x:c r="K20" s="24" t="n">
        <x:v>0.0898837381</x:v>
      </x:c>
    </x:row>
    <x:row r="21">
      <x:c r="J21" t="str">
        <x:v>Alibaba dev740</x:v>
      </x:c>
      <x:c r="K21" s="24" t="n">
        <x:v>0</x:v>
      </x:c>
    </x:row>
    <x:row r="51">
      <x:c r="A51" s="118" t="str">
        <x:v>해석 주의: latency는 NAND 병렬성을 반영하지 않은 단일 자원 analytical model의 상대 비교값입니다.</x:v>
      </x:c>
      <x:c r="B51" s="118"/>
      <x:c r="C51" s="118"/>
      <x:c r="D51" s="118"/>
      <x:c r="E51" s="118"/>
      <x:c r="F51" s="118"/>
      <x:c r="G51" s="118"/>
      <x:c r="H51" s="118"/>
    </x:row>
  </x:sheetData>
  <x:mergeCells>
    <x:mergeCell ref="A1:H2"/>
    <x:mergeCell ref="A4:H4"/>
    <x:mergeCell ref="A5:B7"/>
    <x:mergeCell ref="C5:D7"/>
    <x:mergeCell ref="E5:F7"/>
    <x:mergeCell ref="G5:H7"/>
    <x:mergeCell ref="A9:H9"/>
    <x:mergeCell ref="A51:H51"/>
  </x:mergeCells>
  <x:pageMargins left="0.7" right="0.7" top="0.75" bottom="0.75" header="0.3" footer="0.3"/>
  <x:drawing xmlns:r="http://schemas.openxmlformats.org/officeDocument/2006/relationships" r:id="Rd04313337d24474a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30" t="str">
        <x:v>Workload</x:v>
      </x:c>
      <x:c r="B1" s="31" t="str">
        <x:v>Requests</x:v>
      </x:c>
      <x:c r="C1" s="31" t="str">
        <x:v>Duration (s)</x:v>
      </x:c>
      <x:c r="D1" s="31" t="str">
        <x:v>Write Req Ratio</x:v>
      </x:c>
      <x:c r="E1" s="31" t="str">
        <x:v>Write Page Ratio</x:v>
      </x:c>
      <x:c r="F1" s="31" t="str">
        <x:v>Overwrite Page Ratio</x:v>
      </x:c>
      <x:c r="G1" s="31" t="str">
        <x:v>Overwrite Req Ratio</x:v>
      </x:c>
      <x:c r="H1" s="31" t="str">
        <x:v>Sequential Ratio</x:v>
      </x:c>
      <x:c r="I1" s="31" t="str">
        <x:v>Avg Req Pages</x:v>
      </x:c>
      <x:c r="J1" s="31" t="str">
        <x:v>P95 Req Pages</x:v>
      </x:c>
      <x:c r="K1" s="31" t="str">
        <x:v>Distinct Written Pages</x:v>
      </x:c>
      <x:c r="L1" s="32" t="str">
        <x:v>Max Window IOPS</x:v>
      </x:c>
    </x:row>
    <x:row r="2">
      <x:c r="A2" s="33" t="str">
        <x:v>MSR prxy_1</x:v>
      </x:c>
      <x:c r="B2" s="33" t="n">
        <x:v>100000</x:v>
      </x:c>
      <x:c r="C2" s="34" t="n">
        <x:v>334.6644384</x:v>
      </x:c>
      <x:c r="D2" s="35" t="n">
        <x:v>0.3445</x:v>
      </x:c>
      <x:c r="E2" s="35" t="n">
        <x:v>0.3520618605131867</x:v>
      </x:c>
      <x:c r="F2" s="35" t="n">
        <x:v>0.8327239732059459</x:v>
      </x:c>
      <x:c r="G2" s="35" t="n">
        <x:v>0.8978519593613933</x:v>
      </x:c>
      <x:c r="H2" s="35" t="n">
        <x:v>0.03764037640376404</x:v>
      </x:c>
      <x:c r="I2" s="34" t="n">
        <x:v>3.19299</x:v>
      </x:c>
      <x:c r="J2" s="34" t="n">
        <x:v>15</x:v>
      </x:c>
      <x:c r="K2" s="36" t="n">
        <x:v>18804</x:v>
      </x:c>
      <x:c r="L2" s="36" t="n">
        <x:v>549</x:v>
      </x:c>
    </x:row>
    <x:row r="3">
      <x:c r="A3" s="33" t="str">
        <x:v>Alibaba dev4</x:v>
      </x:c>
      <x:c r="B3" s="33" t="n">
        <x:v>100000</x:v>
      </x:c>
      <x:c r="C3" s="34" t="n">
        <x:v>363.762231</x:v>
      </x:c>
      <x:c r="D3" s="35" t="n">
        <x:v>0.96513</x:v>
      </x:c>
      <x:c r="E3" s="35" t="n">
        <x:v>0.9702808594179719</x:v>
      </x:c>
      <x:c r="F3" s="35" t="n">
        <x:v>0.8765316890660294</x:v>
      </x:c>
      <x:c r="G3" s="35" t="n">
        <x:v>0.9877115000051806</x:v>
      </x:c>
      <x:c r="H3" s="35" t="n">
        <x:v>0.0026700267002670026</x:v>
      </x:c>
      <x:c r="I3" s="34" t="n">
        <x:v>1.18173</x:v>
      </x:c>
      <x:c r="J3" s="34" t="n">
        <x:v>2</x:v>
      </x:c>
      <x:c r="K3" s="36" t="n">
        <x:v>14157</x:v>
      </x:c>
      <x:c r="L3" s="36" t="n">
        <x:v>2636</x:v>
      </x:c>
    </x:row>
    <x:row r="4">
      <x:c r="A4" s="33" t="str">
        <x:v>Alibaba dev49</x:v>
      </x:c>
      <x:c r="B4" s="33" t="n">
        <x:v>100000</x:v>
      </x:c>
      <x:c r="C4" s="34" t="n">
        <x:v>25201.159794</x:v>
      </x:c>
      <x:c r="D4" s="35" t="n">
        <x:v>0.48657</x:v>
      </x:c>
      <x:c r="E4" s="35" t="n">
        <x:v>0.31782757012498275</x:v>
      </x:c>
      <x:c r="F4" s="35" t="n">
        <x:v>0.46942947321791134</x:v>
      </x:c>
      <x:c r="G4" s="35" t="n">
        <x:v>0.6505744291674374</x:v>
      </x:c>
      <x:c r="H4" s="35" t="n">
        <x:v>0.024350243502435025</x:v>
      </x:c>
      <x:c r="I4" s="34" t="n">
        <x:v>6.81854</x:v>
      </x:c>
      <x:c r="J4" s="34" t="n">
        <x:v>16</x:v>
      </x:c>
      <x:c r="K4" s="36" t="n">
        <x:v>114981</x:v>
      </x:c>
      <x:c r="L4" s="36" t="n">
        <x:v>2145</x:v>
      </x:c>
    </x:row>
    <x:row r="5">
      <x:c r="A5" s="33" t="str">
        <x:v>Alibaba dev740</x:v>
      </x:c>
      <x:c r="B5" s="33" t="n">
        <x:v>100000</x:v>
      </x:c>
      <x:c r="C5" s="34" t="n">
        <x:v>922.24698</x:v>
      </x:c>
      <x:c r="D5" s="35" t="n">
        <x:v>1</x:v>
      </x:c>
      <x:c r="E5" s="35" t="n">
        <x:v>1</x:v>
      </x:c>
      <x:c r="F5" s="35" t="n">
        <x:v>0.1444559585492228</x:v>
      </x:c>
      <x:c r="G5" s="35" t="n">
        <x:v>0.32142</x:v>
      </x:c>
      <x:c r="H5" s="35" t="n">
        <x:v>0.005530055300553006</x:v>
      </x:c>
      <x:c r="I5" s="34" t="n">
        <x:v>3.474</x:v>
      </x:c>
      <x:c r="J5" s="34" t="n">
        <x:v>7</x:v>
      </x:c>
      <x:c r="K5" s="36" t="n">
        <x:v>297216</x:v>
      </x:c>
      <x:c r="L5" s="36" t="n">
        <x:v>3050</x:v>
      </x:c>
    </x:row>
  </x:sheetData>
  <x:pageMargins left="0.7" right="0.7" top="0.75" bottom="0.75" header="0.3" footer="0.3"/>
  <x:tableParts count="1">
    <x:tablePart xmlns:r="http://schemas.openxmlformats.org/officeDocument/2006/relationships" r:id="R8a257ab204b24b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0" t="str">
        <x:v>Workload</x:v>
      </x:c>
      <x:c r="B1" s="31" t="str">
        <x:v>Metric</x:v>
      </x:c>
      <x:c r="C1" s="31" t="str">
        <x:v>Baseline</x:v>
      </x:c>
      <x:c r="D1" s="31" t="str">
        <x:v>Proposed</x:v>
      </x:c>
      <x:c r="E1" s="31" t="str">
        <x:v>Absolute Change</x:v>
      </x:c>
      <x:c r="F1" s="31" t="str">
        <x:v>Percent Change</x:v>
      </x:c>
      <x:c r="G1" s="32" t="str">
        <x:v>Improvement</x:v>
      </x:c>
    </x:row>
    <x:row r="2">
      <x:c r="A2" s="33" t="str">
        <x:v>MSR prxy_1</x:v>
      </x:c>
      <x:c r="B2" s="33" t="str">
        <x:v>write_amplification_factor</x:v>
      </x:c>
      <x:c r="C2" s="46" t="n">
        <x:v>2.3935932676825638</x:v>
      </x:c>
      <x:c r="D2" s="46" t="n">
        <x:v>2.026945282129291</x:v>
      </x:c>
      <x:c r="E2" s="46" t="n">
        <x:v>-0.3666479855532722</x:v>
      </x:c>
      <x:c r="F2" s="35" t="n">
        <x:v>-0.15317890073623688</x:v>
      </x:c>
      <x:c r="G2" s="35" t="n">
        <x:f>IF(C2=0,0,-(D2-C2)/C2)</x:f>
        <x:v>0.15317890073623705</x:v>
      </x:c>
    </x:row>
    <x:row r="3">
      <x:c r="A3" s="33" t="str">
        <x:v>MSR prxy_1</x:v>
      </x:c>
      <x:c r="B3" s="33" t="str">
        <x:v>valid_page_migrations</x:v>
      </x:c>
      <x:c r="C3" s="46" t="n">
        <x:v>156658</x:v>
      </x:c>
      <x:c r="D3" s="46" t="n">
        <x:v>115442</x:v>
      </x:c>
      <x:c r="E3" s="46" t="n">
        <x:v>-41216</x:v>
      </x:c>
      <x:c r="F3" s="35" t="n">
        <x:v>-0.2630954052777388</x:v>
      </x:c>
      <x:c r="G3" s="35" t="n">
        <x:f>IF(C3=0,0,-(D3-C3)/C3)</x:f>
        <x:v>0.2630954052777388</x:v>
      </x:c>
    </x:row>
    <x:row r="4">
      <x:c r="A4" s="33" t="str">
        <x:v>MSR prxy_1</x:v>
      </x:c>
      <x:c r="B4" s="33" t="str">
        <x:v>gc_count</x:v>
      </x:c>
      <x:c r="C4" s="46" t="n">
        <x:v>4204</x:v>
      </x:c>
      <x:c r="D4" s="46" t="n">
        <x:v>3560</x:v>
      </x:c>
      <x:c r="E4" s="46" t="n">
        <x:v>-644</x:v>
      </x:c>
      <x:c r="F4" s="35" t="n">
        <x:v>-0.15318744053282587</x:v>
      </x:c>
      <x:c r="G4" s="35" t="n">
        <x:f>IF(C4=0,0,-(D4-C4)/C4)</x:f>
        <x:v>0.15318744053282587</x:v>
      </x:c>
    </x:row>
    <x:row r="5">
      <x:c r="A5" s="33" t="str">
        <x:v>MSR prxy_1</x:v>
      </x:c>
      <x:c r="B5" s="33" t="str">
        <x:v>avg_migrated_pages_per_gc</x:v>
      </x:c>
      <x:c r="C5" s="46" t="n">
        <x:v>37.26403425309229</x:v>
      </x:c>
      <x:c r="D5" s="46" t="n">
        <x:v>32.42752808988764</x:v>
      </x:c>
      <x:c r="E5" s="46" t="n">
        <x:v>-4.836506163204653</x:v>
      </x:c>
      <x:c r="F5" s="35" t="n">
        <x:v>-0.12979019207517242</x:v>
      </x:c>
      <x:c r="G5" s="35" t="n">
        <x:f>IF(C5=0,0,-(D5-C5)/C5)</x:f>
        <x:v>0.12979019207517245</x:v>
      </x:c>
    </x:row>
    <x:row r="6">
      <x:c r="A6" s="33" t="str">
        <x:v>MSR prxy_1</x:v>
      </x:c>
      <x:c r="B6" s="33" t="str">
        <x:v>avg_latency_us</x:v>
      </x:c>
      <x:c r="C6" s="46" t="n">
        <x:v>4489.555493999933</x:v>
      </x:c>
      <x:c r="D6" s="46" t="n">
        <x:v>3586.8132319999504</x:v>
      </x:c>
      <x:c r="E6" s="46" t="n">
        <x:v>-902.7422619999824</x:v>
      </x:c>
      <x:c r="F6" s="35" t="n">
        <x:v>-0.2010760894272167</x:v>
      </x:c>
      <x:c r="G6" s="35" t="n">
        <x:f>IF(C6=0,0,-(D6-C6)/C6)</x:f>
        <x:v>0.2010760894272167</x:v>
      </x:c>
    </x:row>
    <x:row r="7">
      <x:c r="A7" s="33" t="str">
        <x:v>MSR prxy_1</x:v>
      </x:c>
      <x:c r="B7" s="33" t="str">
        <x:v>p95_latency_us</x:v>
      </x:c>
      <x:c r="C7" s="46" t="n">
        <x:v>19319.29999999702</x:v>
      </x:c>
      <x:c r="D7" s="46" t="n">
        <x:v>17730.40000000596</x:v>
      </x:c>
      <x:c r="E7" s="46" t="n">
        <x:v>-1588.8999999910593</x:v>
      </x:c>
      <x:c r="F7" s="35" t="n">
        <x:v>-0.08224418068932644</x:v>
      </x:c>
      <x:c r="G7" s="35" t="n">
        <x:f>IF(C7=0,0,-(D7-C7)/C7)</x:f>
        <x:v>0.08224418068932644</x:v>
      </x:c>
    </x:row>
    <x:row r="8">
      <x:c r="A8" s="33" t="str">
        <x:v>MSR prxy_1</x:v>
      </x:c>
      <x:c r="B8" s="33" t="str">
        <x:v>p99_latency_us</x:v>
      </x:c>
      <x:c r="C8" s="46" t="n">
        <x:v>33209.199999999255</x:v>
      </x:c>
      <x:c r="D8" s="46" t="n">
        <x:v>26109.19999998808</x:v>
      </x:c>
      <x:c r="E8" s="46" t="n">
        <x:v>-7100.000000011176</x:v>
      </x:c>
      <x:c r="F8" s="35" t="n">
        <x:v>-0.2137961769633516</x:v>
      </x:c>
      <x:c r="G8" s="35" t="n">
        <x:f>IF(C8=0,0,-(D8-C8)/C8)</x:f>
        <x:v>0.21379617696335157</x:v>
      </x:c>
    </x:row>
    <x:row r="9">
      <x:c r="A9" s="33" t="str">
        <x:v>MSR prxy_1</x:v>
      </x:c>
      <x:c r="B9" s="33" t="str">
        <x:v>p99_9_latency_us</x:v>
      </x:c>
      <x:c r="C9" s="46" t="n">
        <x:v>52255.19999998808</x:v>
      </x:c>
      <x:c r="D9" s="46" t="n">
        <x:v>45235.09999996424</x:v>
      </x:c>
      <x:c r="E9" s="46" t="n">
        <x:v>-7020.100000023842</x:v>
      </x:c>
      <x:c r="F9" s="35" t="n">
        <x:v>-0.13434261087940422</x:v>
      </x:c>
      <x:c r="G9" s="35" t="n">
        <x:f>IF(C9=0,0,-(D9-C9)/C9)</x:f>
        <x:v>0.13434261087940422</x:v>
      </x:c>
    </x:row>
    <x:row r="10">
      <x:c r="A10" s="33" t="str">
        <x:v>MSR prxy_1</x:v>
      </x:c>
      <x:c r="B10" s="33" t="str">
        <x:v>max_latency_us</x:v>
      </x:c>
      <x:c r="C10" s="46" t="n">
        <x:v>73083.59999999404</x:v>
      </x:c>
      <x:c r="D10" s="46" t="n">
        <x:v>62311.5</x:v>
      </x:c>
      <x:c r="E10" s="46" t="n">
        <x:v>-10772.09999999404</x:v>
      </x:c>
      <x:c r="F10" s="35" t="n">
        <x:v>-0.1473942170335741</x:v>
      </x:c>
      <x:c r="G10" s="35" t="n">
        <x:f>IF(C10=0,0,-(D10-C10)/C10)</x:f>
        <x:v>0.14739421703357414</x:v>
      </x:c>
    </x:row>
    <x:row r="11">
      <x:c r="A11" s="33" t="str">
        <x:v>MSR prxy_1</x:v>
      </x:c>
      <x:c r="B11" s="33" t="str">
        <x:v>direct_gc_requests</x:v>
      </x:c>
      <x:c r="C11" s="46" t="n">
        <x:v>4202</x:v>
      </x:c>
      <x:c r="D11" s="46" t="n">
        <x:v>3560</x:v>
      </x:c>
      <x:c r="E11" s="46" t="n">
        <x:v>-642</x:v>
      </x:c>
      <x:c r="F11" s="35" t="n">
        <x:v>-0.1527843883864826</x:v>
      </x:c>
      <x:c r="G11" s="35" t="n">
        <x:f>IF(C11=0,0,-(D11-C11)/C11)</x:f>
        <x:v>0.15278438838648262</x:v>
      </x:c>
    </x:row>
    <x:row r="12">
      <x:c r="A12" s="33" t="str">
        <x:v>MSR prxy_1</x:v>
      </x:c>
      <x:c r="B12" s="33" t="str">
        <x:v>gc_spillover_requests</x:v>
      </x:c>
      <x:c r="C12" s="46" t="n">
        <x:v>30512</x:v>
      </x:c>
      <x:c r="D12" s="46" t="n">
        <x:v>23963</x:v>
      </x:c>
      <x:c r="E12" s="46" t="n">
        <x:v>-6549</x:v>
      </x:c>
      <x:c r="F12" s="35" t="n">
        <x:v>-0.21463686418458314</x:v>
      </x:c>
      <x:c r="G12" s="35" t="n">
        <x:f>IF(C12=0,0,-(D12-C12)/C12)</x:f>
        <x:v>0.2146368641845831</x:v>
      </x:c>
    </x:row>
    <x:row r="13">
      <x:c r="A13" s="33" t="str">
        <x:v>MSR prxy_1</x:v>
      </x:c>
      <x:c r="B13" s="33" t="str">
        <x:v>p99_gc_related_ratio</x:v>
      </x:c>
      <x:c r="C13" s="46" t="n">
        <x:v>1</x:v>
      </x:c>
      <x:c r="D13" s="46" t="n">
        <x:v>1</x:v>
      </x:c>
      <x:c r="E13" s="46" t="n">
        <x:v>0</x:v>
      </x:c>
      <x:c r="F13" s="35" t="n">
        <x:v>0</x:v>
      </x:c>
      <x:c r="G13" s="35" t="n">
        <x:f>IF(C13=0,0,-(D13-C13)/C13)</x:f>
        <x:v>0</x:v>
      </x:c>
    </x:row>
    <x:row r="14">
      <x:c r="A14" s="33" t="str">
        <x:v>Alibaba dev4</x:v>
      </x:c>
      <x:c r="B14" s="33" t="str">
        <x:v>write_amplification_factor</x:v>
      </x:c>
      <x:c r="C14" s="46" t="n">
        <x:v>3.524241023538954</x:v>
      </x:c>
      <x:c r="D14" s="46" t="n">
        <x:v>2.3248532630973044</x:v>
      </x:c>
      <x:c r="E14" s="46" t="n">
        <x:v>-1.1993877604416494</x:v>
      </x:c>
      <x:c r="F14" s="35" t="n">
        <x:v>-0.34032512317709035</x:v>
      </x:c>
      <x:c r="G14" s="35" t="n">
        <x:f>IF(C14=0,0,-(D14-C14)/C14)</x:f>
        <x:v>0.34032512317709035</x:v>
      </x:c>
    </x:row>
    <x:row r="15">
      <x:c r="A15" s="33" t="str">
        <x:v>Alibaba dev4</x:v>
      </x:c>
      <x:c r="B15" s="33" t="str">
        <x:v>valid_page_migrations</x:v>
      </x:c>
      <x:c r="C15" s="46" t="n">
        <x:v>289432</x:v>
      </x:c>
      <x:c r="D15" s="46" t="n">
        <x:v>151909</x:v>
      </x:c>
      <x:c r="E15" s="46" t="n">
        <x:v>-137523</x:v>
      </x:c>
      <x:c r="F15" s="35" t="n">
        <x:v>-0.4751478758395755</x:v>
      </x:c>
      <x:c r="G15" s="35" t="n">
        <x:f>IF(C15=0,0,-(D15-C15)/C15)</x:f>
        <x:v>0.47514787583957546</x:v>
      </x:c>
    </x:row>
    <x:row r="16">
      <x:c r="A16" s="33" t="str">
        <x:v>Alibaba dev4</x:v>
      </x:c>
      <x:c r="B16" s="33" t="str">
        <x:v>gc_count</x:v>
      </x:c>
      <x:c r="C16" s="46" t="n">
        <x:v>6314</x:v>
      </x:c>
      <x:c r="D16" s="46" t="n">
        <x:v>4165</x:v>
      </x:c>
      <x:c r="E16" s="46" t="n">
        <x:v>-2149</x:v>
      </x:c>
      <x:c r="F16" s="35" t="n">
        <x:v>-0.34035476718403546</x:v>
      </x:c>
      <x:c r="G16" s="35" t="n">
        <x:f>IF(C16=0,0,-(D16-C16)/C16)</x:f>
        <x:v>0.34035476718403546</x:v>
      </x:c>
    </x:row>
    <x:row r="17">
      <x:c r="A17" s="33" t="str">
        <x:v>Alibaba dev4</x:v>
      </x:c>
      <x:c r="B17" s="33" t="str">
        <x:v>avg_migrated_pages_per_gc</x:v>
      </x:c>
      <x:c r="C17" s="46" t="n">
        <x:v>45.8397212543554</x:v>
      </x:c>
      <x:c r="D17" s="46" t="n">
        <x:v>36.472749099639856</x:v>
      </x:c>
      <x:c r="E17" s="46" t="n">
        <x:v>-9.366972154715548</x:v>
      </x:c>
      <x:c r="F17" s="35" t="n">
        <x:v>-0.2043418218610035</x:v>
      </x:c>
      <x:c r="G17" s="35" t="n">
        <x:f>IF(C17=0,0,-(D17-C17)/C17)</x:f>
        <x:v>0.2043418218610035</x:v>
      </x:c>
    </x:row>
    <x:row r="18">
      <x:c r="A18" s="33" t="str">
        <x:v>Alibaba dev4</x:v>
      </x:c>
      <x:c r="B18" s="33" t="str">
        <x:v>avg_latency_us</x:v>
      </x:c>
      <x:c r="C18" s="46" t="n">
        <x:v>36292.23414</x:v>
      </x:c>
      <x:c r="D18" s="46" t="n">
        <x:v>19808.07589</x:v>
      </x:c>
      <x:c r="E18" s="46" t="n">
        <x:v>-16484.15825</x:v>
      </x:c>
      <x:c r="F18" s="35" t="n">
        <x:v>-0.45420621355001534</x:v>
      </x:c>
      <x:c r="G18" s="35" t="n">
        <x:f>IF(C18=0,0,-(D18-C18)/C18)</x:f>
        <x:v>0.4542062135500154</x:v>
      </x:c>
    </x:row>
    <x:row r="19">
      <x:c r="A19" s="33" t="str">
        <x:v>Alibaba dev4</x:v>
      </x:c>
      <x:c r="B19" s="33" t="str">
        <x:v>p95_latency_us</x:v>
      </x:c>
      <x:c r="C19" s="46" t="n">
        <x:v>129760</x:v>
      </x:c>
      <x:c r="D19" s="46" t="n">
        <x:v>38960</x:v>
      </x:c>
      <x:c r="E19" s="46" t="n">
        <x:v>-90800</x:v>
      </x:c>
      <x:c r="F19" s="35" t="n">
        <x:v>-0.6997533908754625</x:v>
      </x:c>
      <x:c r="G19" s="35" t="n">
        <x:f>IF(C19=0,0,-(D19-C19)/C19)</x:f>
        <x:v>0.6997533908754624</x:v>
      </x:c>
    </x:row>
    <x:row r="20">
      <x:c r="A20" s="33" t="str">
        <x:v>Alibaba dev4</x:v>
      </x:c>
      <x:c r="B20" s="33" t="str">
        <x:v>p99_latency_us</x:v>
      </x:c>
      <x:c r="C20" s="46" t="n">
        <x:v>637842</x:v>
      </x:c>
      <x:c r="D20" s="46" t="n">
        <x:v>582785</x:v>
      </x:c>
      <x:c r="E20" s="46" t="n">
        <x:v>-55057</x:v>
      </x:c>
      <x:c r="F20" s="35" t="n">
        <x:v>-0.08631761470709048</x:v>
      </x:c>
      <x:c r="G20" s="35" t="n">
        <x:f>IF(C20=0,0,-(D20-C20)/C20)</x:f>
        <x:v>0.08631761470709047</x:v>
      </x:c>
    </x:row>
    <x:row r="21">
      <x:c r="A21" s="33" t="str">
        <x:v>Alibaba dev4</x:v>
      </x:c>
      <x:c r="B21" s="33" t="str">
        <x:v>p99_9_latency_us</x:v>
      </x:c>
      <x:c r="C21" s="46" t="n">
        <x:v>1191863</x:v>
      </x:c>
      <x:c r="D21" s="46" t="n">
        <x:v>1139770</x:v>
      </x:c>
      <x:c r="E21" s="46" t="n">
        <x:v>-52093</x:v>
      </x:c>
      <x:c r="F21" s="35" t="n">
        <x:v>-0.043707204603213624</x:v>
      </x:c>
      <x:c r="G21" s="35" t="n">
        <x:f>IF(C21=0,0,-(D21-C21)/C21)</x:f>
        <x:v>0.043707204603213624</x:v>
      </x:c>
    </x:row>
    <x:row r="22">
      <x:c r="A22" s="33" t="str">
        <x:v>Alibaba dev4</x:v>
      </x:c>
      <x:c r="B22" s="33" t="str">
        <x:v>max_latency_us</x:v>
      </x:c>
      <x:c r="C22" s="46" t="n">
        <x:v>1471768</x:v>
      </x:c>
      <x:c r="D22" s="46" t="n">
        <x:v>1331187</x:v>
      </x:c>
      <x:c r="E22" s="46" t="n">
        <x:v>-140581</x:v>
      </x:c>
      <x:c r="F22" s="35" t="n">
        <x:v>-0.09551845127764702</x:v>
      </x:c>
      <x:c r="G22" s="35" t="n">
        <x:f>IF(C22=0,0,-(D22-C22)/C22)</x:f>
        <x:v>0.09551845127764702</x:v>
      </x:c>
    </x:row>
    <x:row r="23">
      <x:c r="A23" s="33" t="str">
        <x:v>Alibaba dev4</x:v>
      </x:c>
      <x:c r="B23" s="33" t="str">
        <x:v>direct_gc_requests</x:v>
      </x:c>
      <x:c r="C23" s="46" t="n">
        <x:v>6198</x:v>
      </x:c>
      <x:c r="D23" s="46" t="n">
        <x:v>4059</x:v>
      </x:c>
      <x:c r="E23" s="46" t="n">
        <x:v>-2139</x:v>
      </x:c>
      <x:c r="F23" s="35" t="n">
        <x:v>-0.3451113262342691</x:v>
      </x:c>
      <x:c r="G23" s="35" t="n">
        <x:f>IF(C23=0,0,-(D23-C23)/C23)</x:f>
        <x:v>0.3451113262342691</x:v>
      </x:c>
    </x:row>
    <x:row r="24">
      <x:c r="A24" s="33" t="str">
        <x:v>Alibaba dev4</x:v>
      </x:c>
      <x:c r="B24" s="33" t="str">
        <x:v>gc_spillover_requests</x:v>
      </x:c>
      <x:c r="C24" s="46" t="n">
        <x:v>66957</x:v>
      </x:c>
      <x:c r="D24" s="46" t="n">
        <x:v>43274</x:v>
      </x:c>
      <x:c r="E24" s="46" t="n">
        <x:v>-23683</x:v>
      </x:c>
      <x:c r="F24" s="35" t="n">
        <x:v>-0.3537046163955972</x:v>
      </x:c>
      <x:c r="G24" s="35" t="n">
        <x:f>IF(C24=0,0,-(D24-C24)/C24)</x:f>
        <x:v>0.3537046163955972</x:v>
      </x:c>
    </x:row>
    <x:row r="25">
      <x:c r="A25" s="33" t="str">
        <x:v>Alibaba dev4</x:v>
      </x:c>
      <x:c r="B25" s="33" t="str">
        <x:v>p99_gc_related_ratio</x:v>
      </x:c>
      <x:c r="C25" s="46" t="n">
        <x:v>1</x:v>
      </x:c>
      <x:c r="D25" s="46" t="n">
        <x:v>1</x:v>
      </x:c>
      <x:c r="E25" s="46" t="n">
        <x:v>0</x:v>
      </x:c>
      <x:c r="F25" s="35" t="n">
        <x:v>0</x:v>
      </x:c>
      <x:c r="G25" s="35" t="n">
        <x:f>IF(C25=0,0,-(D25-C25)/C25)</x:f>
        <x:v>0</x:v>
      </x:c>
    </x:row>
    <x:row r="26">
      <x:c r="A26" s="33" t="str">
        <x:v>Alibaba dev49</x:v>
      </x:c>
      <x:c r="B26" s="33" t="str">
        <x:v>write_amplification_factor</x:v>
      </x:c>
      <x:c r="C26" s="46" t="n">
        <x:v>2.099196168186349</x:v>
      </x:c>
      <x:c r="D26" s="46" t="n">
        <x:v>1.910512569677729</x:v>
      </x:c>
      <x:c r="E26" s="46" t="n">
        <x:v>-0.1886835985086199</x:v>
      </x:c>
      <x:c r="F26" s="35" t="n">
        <x:v>-0.08988373805561853</x:v>
      </x:c>
      <x:c r="G26" s="35" t="n">
        <x:f>IF(C26=0,0,-(D26-C26)/C26)</x:f>
        <x:v>0.08988373805561853</x:v>
      </x:c>
    </x:row>
    <x:row r="27">
      <x:c r="A27" s="33" t="str">
        <x:v>Alibaba dev49</x:v>
      </x:c>
      <x:c r="B27" s="33" t="str">
        <x:v>valid_page_migrations</x:v>
      </x:c>
      <x:c r="C27" s="46" t="n">
        <x:v>238209</x:v>
      </x:c>
      <x:c r="D27" s="46" t="n">
        <x:v>197319</x:v>
      </x:c>
      <x:c r="E27" s="46" t="n">
        <x:v>-40890</x:v>
      </x:c>
      <x:c r="F27" s="35" t="n">
        <x:v>-0.17165598277143182</x:v>
      </x:c>
      <x:c r="G27" s="35" t="n">
        <x:f>IF(C27=0,0,-(D27-C27)/C27)</x:f>
        <x:v>0.17165598277143182</x:v>
      </x:c>
    </x:row>
    <x:row r="28">
      <x:c r="A28" s="33" t="str">
        <x:v>Alibaba dev49</x:v>
      </x:c>
      <x:c r="B28" s="33" t="str">
        <x:v>gc_count</x:v>
      </x:c>
      <x:c r="C28" s="46" t="n">
        <x:v>7108</x:v>
      </x:c>
      <x:c r="D28" s="46" t="n">
        <x:v>6469</x:v>
      </x:c>
      <x:c r="E28" s="46" t="n">
        <x:v>-639</x:v>
      </x:c>
      <x:c r="F28" s="35" t="n">
        <x:v>-0.08989870568373663</x:v>
      </x:c>
      <x:c r="G28" s="35" t="n">
        <x:f>IF(C28=0,0,-(D28-C28)/C28)</x:f>
        <x:v>0.08989870568373663</x:v>
      </x:c>
    </x:row>
    <x:row r="29">
      <x:c r="A29" s="33" t="str">
        <x:v>Alibaba dev49</x:v>
      </x:c>
      <x:c r="B29" s="33" t="str">
        <x:v>avg_migrated_pages_per_gc</x:v>
      </x:c>
      <x:c r="C29" s="46" t="n">
        <x:v>33.51280247608329</x:v>
      </x:c>
      <x:c r="D29" s="46" t="n">
        <x:v>30.502241459267275</x:v>
      </x:c>
      <x:c r="E29" s="46" t="n">
        <x:v>-3.0105610168160126</x:v>
      </x:c>
      <x:c r="F29" s="35" t="n">
        <x:v>-0.08983316208677346</x:v>
      </x:c>
      <x:c r="G29" s="35" t="n">
        <x:f>IF(C29=0,0,-(D29-C29)/C29)</x:f>
        <x:v>0.08983316208677346</x:v>
      </x:c>
    </x:row>
    <x:row r="30">
      <x:c r="A30" s="33" t="str">
        <x:v>Alibaba dev49</x:v>
      </x:c>
      <x:c r="B30" s="33" t="str">
        <x:v>avg_latency_us</x:v>
      </x:c>
      <x:c r="C30" s="46" t="n">
        <x:v>695668.86741</x:v>
      </x:c>
      <x:c r="D30" s="46" t="n">
        <x:v>583127.1137900008</x:v>
      </x:c>
      <x:c r="E30" s="46" t="n">
        <x:v>-112541.75361999916</x:v>
      </x:c>
      <x:c r="F30" s="35" t="n">
        <x:v>-0.16177488873261806</x:v>
      </x:c>
      <x:c r="G30" s="35" t="n">
        <x:f>IF(C30=0,0,-(D30-C30)/C30)</x:f>
        <x:v>0.16177488873261806</x:v>
      </x:c>
    </x:row>
    <x:row r="31">
      <x:c r="A31" s="33" t="str">
        <x:v>Alibaba dev49</x:v>
      </x:c>
      <x:c r="B31" s="33" t="str">
        <x:v>p95_latency_us</x:v>
      </x:c>
      <x:c r="C31" s="46" t="n">
        <x:v>3013748</x:v>
      </x:c>
      <x:c r="D31" s="46" t="n">
        <x:v>2513376</x:v>
      </x:c>
      <x:c r="E31" s="46" t="n">
        <x:v>-500372</x:v>
      </x:c>
      <x:c r="F31" s="35" t="n">
        <x:v>-0.16602980740260964</x:v>
      </x:c>
      <x:c r="G31" s="35" t="n">
        <x:f>IF(C31=0,0,-(D31-C31)/C31)</x:f>
        <x:v>0.16602980740260964</x:v>
      </x:c>
    </x:row>
    <x:row r="32">
      <x:c r="A32" s="33" t="str">
        <x:v>Alibaba dev49</x:v>
      </x:c>
      <x:c r="B32" s="33" t="str">
        <x:v>p99_latency_us</x:v>
      </x:c>
      <x:c r="C32" s="46" t="n">
        <x:v>5084350</x:v>
      </x:c>
      <x:c r="D32" s="46" t="n">
        <x:v>5044940</x:v>
      </x:c>
      <x:c r="E32" s="46" t="n">
        <x:v>-39410</x:v>
      </x:c>
      <x:c r="F32" s="35" t="n">
        <x:v>-0.007751236637918319</x:v>
      </x:c>
      <x:c r="G32" s="35" t="n">
        <x:f>IF(C32=0,0,-(D32-C32)/C32)</x:f>
        <x:v>0.007751236637918318</x:v>
      </x:c>
    </x:row>
    <x:row r="33">
      <x:c r="A33" s="33" t="str">
        <x:v>Alibaba dev49</x:v>
      </x:c>
      <x:c r="B33" s="33" t="str">
        <x:v>p99_9_latency_us</x:v>
      </x:c>
      <x:c r="C33" s="46" t="n">
        <x:v>6837531</x:v>
      </x:c>
      <x:c r="D33" s="46" t="n">
        <x:v>6664451</x:v>
      </x:c>
      <x:c r="E33" s="46" t="n">
        <x:v>-173080</x:v>
      </x:c>
      <x:c r="F33" s="35" t="n">
        <x:v>-0.02531323075537061</x:v>
      </x:c>
      <x:c r="G33" s="35" t="n">
        <x:f>IF(C33=0,0,-(D33-C33)/C33)</x:f>
        <x:v>0.025313230755370616</x:v>
      </x:c>
    </x:row>
    <x:row r="34">
      <x:c r="A34" s="33" t="str">
        <x:v>Alibaba dev49</x:v>
      </x:c>
      <x:c r="B34" s="33" t="str">
        <x:v>max_latency_us</x:v>
      </x:c>
      <x:c r="C34" s="46" t="n">
        <x:v>7633345</x:v>
      </x:c>
      <x:c r="D34" s="46" t="n">
        <x:v>7134225</x:v>
      </x:c>
      <x:c r="E34" s="46" t="n">
        <x:v>-499120</x:v>
      </x:c>
      <x:c r="F34" s="35" t="n">
        <x:v>-0.06538679962716214</x:v>
      </x:c>
      <x:c r="G34" s="35" t="n">
        <x:f>IF(C34=0,0,-(D34-C34)/C34)</x:f>
        <x:v>0.06538679962716214</x:v>
      </x:c>
    </x:row>
    <x:row r="35">
      <x:c r="A35" s="33" t="str">
        <x:v>Alibaba dev49</x:v>
      </x:c>
      <x:c r="B35" s="33" t="str">
        <x:v>direct_gc_requests</x:v>
      </x:c>
      <x:c r="C35" s="46" t="n">
        <x:v>6131</x:v>
      </x:c>
      <x:c r="D35" s="46" t="n">
        <x:v>5657</x:v>
      </x:c>
      <x:c r="E35" s="46" t="n">
        <x:v>-474</x:v>
      </x:c>
      <x:c r="F35" s="35" t="n">
        <x:v>-0.07731202087750774</x:v>
      </x:c>
      <x:c r="G35" s="35" t="n">
        <x:f>IF(C35=0,0,-(D35-C35)/C35)</x:f>
        <x:v>0.07731202087750774</x:v>
      </x:c>
    </x:row>
    <x:row r="36">
      <x:c r="A36" s="33" t="str">
        <x:v>Alibaba dev49</x:v>
      </x:c>
      <x:c r="B36" s="33" t="str">
        <x:v>gc_spillover_requests</x:v>
      </x:c>
      <x:c r="C36" s="46" t="n">
        <x:v>39487</x:v>
      </x:c>
      <x:c r="D36" s="46" t="n">
        <x:v>38917</x:v>
      </x:c>
      <x:c r="E36" s="46" t="n">
        <x:v>-570</x:v>
      </x:c>
      <x:c r="F36" s="35" t="n">
        <x:v>-0.014435130549294704</x:v>
      </x:c>
      <x:c r="G36" s="35" t="n">
        <x:f>IF(C36=0,0,-(D36-C36)/C36)</x:f>
        <x:v>0.014435130549294704</x:v>
      </x:c>
    </x:row>
    <x:row r="37">
      <x:c r="A37" s="33" t="str">
        <x:v>Alibaba dev49</x:v>
      </x:c>
      <x:c r="B37" s="33" t="str">
        <x:v>p99_gc_related_ratio</x:v>
      </x:c>
      <x:c r="C37" s="46" t="n">
        <x:v>1</x:v>
      </x:c>
      <x:c r="D37" s="46" t="n">
        <x:v>1</x:v>
      </x:c>
      <x:c r="E37" s="46" t="n">
        <x:v>0</x:v>
      </x:c>
      <x:c r="F37" s="35" t="n">
        <x:v>0</x:v>
      </x:c>
      <x:c r="G37" s="35" t="n">
        <x:f>IF(C37=0,0,-(D37-C37)/C37)</x:f>
        <x:v>0</x:v>
      </x:c>
    </x:row>
    <x:row r="38">
      <x:c r="A38" s="33" t="str">
        <x:v>Alibaba dev740</x:v>
      </x:c>
      <x:c r="B38" s="33" t="str">
        <x:v>write_amplification_factor</x:v>
      </x:c>
      <x:c r="C38" s="46" t="n">
        <x:v>1</x:v>
      </x:c>
      <x:c r="D38" s="46" t="n">
        <x:v>1</x:v>
      </x:c>
      <x:c r="E38" s="46" t="n">
        <x:v>0</x:v>
      </x:c>
      <x:c r="F38" s="35" t="n">
        <x:v>0</x:v>
      </x:c>
      <x:c r="G38" s="35" t="n">
        <x:f>IF(C38=0,0,-(D38-C38)/C38)</x:f>
        <x:v>0</x:v>
      </x:c>
    </x:row>
    <x:row r="39">
      <x:c r="A39" s="33" t="str">
        <x:v>Alibaba dev740</x:v>
      </x:c>
      <x:c r="B39" s="33" t="str">
        <x:v>valid_page_migrations</x:v>
      </x:c>
      <x:c r="C39" s="46" t="n">
        <x:v>0</x:v>
      </x:c>
      <x:c r="D39" s="46" t="n">
        <x:v>0</x:v>
      </x:c>
      <x:c r="E39" s="46" t="n">
        <x:v>0</x:v>
      </x:c>
      <x:c r="F39" s="35" t="n">
        <x:v>0</x:v>
      </x:c>
      <x:c r="G39" s="35" t="n">
        <x:f>IF(C39=0,0,-(D39-C39)/C39)</x:f>
        <x:v>0</x:v>
      </x:c>
    </x:row>
    <x:row r="40">
      <x:c r="A40" s="33" t="str">
        <x:v>Alibaba dev740</x:v>
      </x:c>
      <x:c r="B40" s="33" t="str">
        <x:v>gc_count</x:v>
      </x:c>
      <x:c r="C40" s="46" t="n">
        <x:v>5339</x:v>
      </x:c>
      <x:c r="D40" s="46" t="n">
        <x:v>5339</x:v>
      </x:c>
      <x:c r="E40" s="46" t="n">
        <x:v>0</x:v>
      </x:c>
      <x:c r="F40" s="35" t="n">
        <x:v>0</x:v>
      </x:c>
      <x:c r="G40" s="35" t="n">
        <x:f>IF(C40=0,0,-(D40-C40)/C40)</x:f>
        <x:v>0</x:v>
      </x:c>
    </x:row>
    <x:row r="41">
      <x:c r="A41" s="33" t="str">
        <x:v>Alibaba dev740</x:v>
      </x:c>
      <x:c r="B41" s="33" t="str">
        <x:v>avg_migrated_pages_per_gc</x:v>
      </x:c>
      <x:c r="C41" s="46" t="n">
        <x:v>0</x:v>
      </x:c>
      <x:c r="D41" s="46" t="n">
        <x:v>0</x:v>
      </x:c>
      <x:c r="E41" s="46" t="n">
        <x:v>0</x:v>
      </x:c>
      <x:c r="F41" s="35" t="n">
        <x:v>0</x:v>
      </x:c>
      <x:c r="G41" s="35" t="n">
        <x:f>IF(C41=0,0,-(D41-C41)/C41)</x:f>
        <x:v>0</x:v>
      </x:c>
    </x:row>
    <x:row r="42">
      <x:c r="A42" s="33" t="str">
        <x:v>Alibaba dev740</x:v>
      </x:c>
      <x:c r="B42" s="33" t="str">
        <x:v>avg_latency_us</x:v>
      </x:c>
      <x:c r="C42" s="46" t="n">
        <x:v>563039.86119</x:v>
      </x:c>
      <x:c r="D42" s="46" t="n">
        <x:v>563039.86119</x:v>
      </x:c>
      <x:c r="E42" s="46" t="n">
        <x:v>0</x:v>
      </x:c>
      <x:c r="F42" s="35" t="n">
        <x:v>0</x:v>
      </x:c>
      <x:c r="G42" s="35" t="n">
        <x:f>IF(C42=0,0,-(D42-C42)/C42)</x:f>
        <x:v>0</x:v>
      </x:c>
    </x:row>
    <x:row r="43">
      <x:c r="A43" s="33" t="str">
        <x:v>Alibaba dev740</x:v>
      </x:c>
      <x:c r="B43" s="33" t="str">
        <x:v>p95_latency_us</x:v>
      </x:c>
      <x:c r="C43" s="46" t="n">
        <x:v>1717176</x:v>
      </x:c>
      <x:c r="D43" s="46" t="n">
        <x:v>1717176</x:v>
      </x:c>
      <x:c r="E43" s="46" t="n">
        <x:v>0</x:v>
      </x:c>
      <x:c r="F43" s="35" t="n">
        <x:v>0</x:v>
      </x:c>
      <x:c r="G43" s="35" t="n">
        <x:f>IF(C43=0,0,-(D43-C43)/C43)</x:f>
        <x:v>0</x:v>
      </x:c>
    </x:row>
    <x:row r="44">
      <x:c r="A44" s="33" t="str">
        <x:v>Alibaba dev740</x:v>
      </x:c>
      <x:c r="B44" s="33" t="str">
        <x:v>p99_latency_us</x:v>
      </x:c>
      <x:c r="C44" s="46" t="n">
        <x:v>2075164</x:v>
      </x:c>
      <x:c r="D44" s="46" t="n">
        <x:v>2075164</x:v>
      </x:c>
      <x:c r="E44" s="46" t="n">
        <x:v>0</x:v>
      </x:c>
      <x:c r="F44" s="35" t="n">
        <x:v>0</x:v>
      </x:c>
      <x:c r="G44" s="35" t="n">
        <x:f>IF(C44=0,0,-(D44-C44)/C44)</x:f>
        <x:v>0</x:v>
      </x:c>
    </x:row>
    <x:row r="45">
      <x:c r="A45" s="33" t="str">
        <x:v>Alibaba dev740</x:v>
      </x:c>
      <x:c r="B45" s="33" t="str">
        <x:v>p99_9_latency_us</x:v>
      </x:c>
      <x:c r="C45" s="46" t="n">
        <x:v>2169893</x:v>
      </x:c>
      <x:c r="D45" s="46" t="n">
        <x:v>2169893</x:v>
      </x:c>
      <x:c r="E45" s="46" t="n">
        <x:v>0</x:v>
      </x:c>
      <x:c r="F45" s="35" t="n">
        <x:v>0</x:v>
      </x:c>
      <x:c r="G45" s="35" t="n">
        <x:f>IF(C45=0,0,-(D45-C45)/C45)</x:f>
        <x:v>0</x:v>
      </x:c>
    </x:row>
    <x:row r="46">
      <x:c r="A46" s="33" t="str">
        <x:v>Alibaba dev740</x:v>
      </x:c>
      <x:c r="B46" s="33" t="str">
        <x:v>max_latency_us</x:v>
      </x:c>
      <x:c r="C46" s="46" t="n">
        <x:v>2389123</x:v>
      </x:c>
      <x:c r="D46" s="46" t="n">
        <x:v>2389123</x:v>
      </x:c>
      <x:c r="E46" s="46" t="n">
        <x:v>0</x:v>
      </x:c>
      <x:c r="F46" s="35" t="n">
        <x:v>0</x:v>
      </x:c>
      <x:c r="G46" s="35" t="n">
        <x:f>IF(C46=0,0,-(D46-C46)/C46)</x:f>
        <x:v>0</x:v>
      </x:c>
    </x:row>
    <x:row r="47">
      <x:c r="A47" s="33" t="str">
        <x:v>Alibaba dev740</x:v>
      </x:c>
      <x:c r="B47" s="33" t="str">
        <x:v>direct_gc_requests</x:v>
      </x:c>
      <x:c r="C47" s="46" t="n">
        <x:v>4153</x:v>
      </x:c>
      <x:c r="D47" s="46" t="n">
        <x:v>4153</x:v>
      </x:c>
      <x:c r="E47" s="46" t="n">
        <x:v>0</x:v>
      </x:c>
      <x:c r="F47" s="35" t="n">
        <x:v>0</x:v>
      </x:c>
      <x:c r="G47" s="35" t="n">
        <x:f>IF(C47=0,0,-(D47-C47)/C47)</x:f>
        <x:v>0</x:v>
      </x:c>
    </x:row>
    <x:row r="48">
      <x:c r="A48" s="33" t="str">
        <x:v>Alibaba dev740</x:v>
      </x:c>
      <x:c r="B48" s="33" t="str">
        <x:v>gc_spillover_requests</x:v>
      </x:c>
      <x:c r="C48" s="46" t="n">
        <x:v>92193</x:v>
      </x:c>
      <x:c r="D48" s="46" t="n">
        <x:v>92193</x:v>
      </x:c>
      <x:c r="E48" s="46" t="n">
        <x:v>0</x:v>
      </x:c>
      <x:c r="F48" s="35" t="n">
        <x:v>0</x:v>
      </x:c>
      <x:c r="G48" s="35" t="n">
        <x:f>IF(C48=0,0,-(D48-C48)/C48)</x:f>
        <x:v>0</x:v>
      </x:c>
    </x:row>
    <x:row r="49">
      <x:c r="A49" s="33" t="str">
        <x:v>Alibaba dev740</x:v>
      </x:c>
      <x:c r="B49" s="33" t="str">
        <x:v>p99_gc_related_ratio</x:v>
      </x:c>
      <x:c r="C49" s="46" t="n">
        <x:v>1</x:v>
      </x:c>
      <x:c r="D49" s="46" t="n">
        <x:v>1</x:v>
      </x:c>
      <x:c r="E49" s="46" t="n">
        <x:v>0</x:v>
      </x:c>
      <x:c r="F49" s="35" t="n">
        <x:v>0</x:v>
      </x:c>
      <x:c r="G49" s="35" t="n">
        <x:f>IF(C49=0,0,-(D49-C49)/C49)</x:f>
        <x:v>0</x:v>
      </x:c>
    </x:row>
  </x:sheetData>
  <x:conditionalFormatting sqref="G2:G4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{63F904B6-DC6A-48FE-8869-A44260038DF7}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98e6273a4e347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3F904B6-DC6A-48FE-8869-A44260038DF7}">
            <x14:dataBar gradient="1">
              <x14:cfvo type="min"/>
              <x14:cfvo type="max"/>
              <x14:fillColor rgb="FFA02B93"/>
            </x14:dataBar>
          </x14:cfRule>
          <xm:sqref>G2:G49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0" t="str">
        <x:v>Threshold</x:v>
      </x:c>
      <x:c r="B1" s="11" t="str">
        <x:v>Metric</x:v>
      </x:c>
      <x:c r="C1" s="11" t="str">
        <x:v>Baseline</x:v>
      </x:c>
      <x:c r="D1" s="11" t="str">
        <x:v>Proposed</x:v>
      </x:c>
      <x:c r="E1" s="11" t="str">
        <x:v>Percent Change</x:v>
      </x:c>
      <x:c r="F1" s="12" t="str">
        <x:v>Improvement</x:v>
      </x:c>
    </x:row>
    <x:row r="2">
      <x:c r="A2" t="n">
        <x:v>2</x:v>
      </x:c>
      <x:c r="B2" t="str">
        <x:v>write_amplification_factor</x:v>
      </x:c>
      <x:c r="C2" t="n">
        <x:v>2.3935932676825638</x:v>
      </x:c>
      <x:c r="D2" t="n">
        <x:v>2.220784073016466</x:v>
      </x:c>
      <x:c r="E2" s="24" t="n">
        <x:v>-0.07219655778586326</x:v>
      </x:c>
      <x:c r="F2" s="24" t="n">
        <x:f>IF(C2=0,0,-(D2-C2)/C2)</x:f>
        <x:v>0.07219655778586344</x:v>
      </x:c>
    </x:row>
    <x:row r="3">
      <x:c r="A3" t="n">
        <x:v>2</x:v>
      </x:c>
      <x:c r="B3" t="str">
        <x:v>valid_page_migrations</x:v>
      </x:c>
      <x:c r="C3" t="n">
        <x:v>156658</x:v>
      </x:c>
      <x:c r="D3" t="n">
        <x:v>137232</x:v>
      </x:c>
      <x:c r="E3" s="24" t="n">
        <x:v>-0.12400260439939233</x:v>
      </x:c>
      <x:c r="F3" s="24" t="n">
        <x:f>IF(C3=0,0,-(D3-C3)/C3)</x:f>
        <x:v>0.12400260439939231</x:v>
      </x:c>
    </x:row>
    <x:row r="4">
      <x:c r="A4" t="n">
        <x:v>2</x:v>
      </x:c>
      <x:c r="B4" t="str">
        <x:v>gc_count</x:v>
      </x:c>
      <x:c r="C4" t="n">
        <x:v>4204</x:v>
      </x:c>
      <x:c r="D4" t="n">
        <x:v>3901</x:v>
      </x:c>
      <x:c r="E4" s="24" t="n">
        <x:v>-0.07207421503330162</x:v>
      </x:c>
      <x:c r="F4" s="24" t="n">
        <x:f>IF(C4=0,0,-(D4-C4)/C4)</x:f>
        <x:v>0.07207421503330162</x:v>
      </x:c>
    </x:row>
    <x:row r="5">
      <x:c r="A5" t="n">
        <x:v>2</x:v>
      </x:c>
      <x:c r="B5" t="str">
        <x:v>avg_latency_us</x:v>
      </x:c>
      <x:c r="C5" t="n">
        <x:v>4489.555493999933</x:v>
      </x:c>
      <x:c r="D5" t="n">
        <x:v>4021.6973729999327</x:v>
      </x:c>
      <x:c r="E5" s="24" t="n">
        <x:v>-0.10421034367996325</x:v>
      </x:c>
      <x:c r="F5" s="24" t="n">
        <x:f>IF(C5=0,0,-(D5-C5)/C5)</x:f>
        <x:v>0.10421034367996325</x:v>
      </x:c>
    </x:row>
    <x:row r="6">
      <x:c r="A6" t="n">
        <x:v>2</x:v>
      </x:c>
      <x:c r="B6" t="str">
        <x:v>p95_latency_us</x:v>
      </x:c>
      <x:c r="C6" t="n">
        <x:v>19319.29999999702</x:v>
      </x:c>
      <x:c r="D6" t="n">
        <x:v>18485.80000001192</x:v>
      </x:c>
      <x:c r="E6" s="24" t="n">
        <x:v>-0.04314338511153237</x:v>
      </x:c>
      <x:c r="F6" s="24" t="n">
        <x:f>IF(C6=0,0,-(D6-C6)/C6)</x:f>
        <x:v>0.04314338511153237</x:v>
      </x:c>
    </x:row>
    <x:row r="7">
      <x:c r="A7" t="n">
        <x:v>2</x:v>
      </x:c>
      <x:c r="B7" t="str">
        <x:v>p99_latency_us</x:v>
      </x:c>
      <x:c r="C7" t="n">
        <x:v>33209.199999999255</x:v>
      </x:c>
      <x:c r="D7" t="n">
        <x:v>30274.60000002384</x:v>
      </x:c>
      <x:c r="E7" s="24" t="n">
        <x:v>-0.08836707900146584</x:v>
      </x:c>
      <x:c r="F7" s="24" t="n">
        <x:f>IF(C7=0,0,-(D7-C7)/C7)</x:f>
        <x:v>0.08836707900146594</x:v>
      </x:c>
    </x:row>
    <x:row r="8">
      <x:c r="A8" t="n">
        <x:v>2</x:v>
      </x:c>
      <x:c r="B8" t="str">
        <x:v>p99_9_latency_us</x:v>
      </x:c>
      <x:c r="C8" t="n">
        <x:v>52255.19999998808</x:v>
      </x:c>
      <x:c r="D8" t="n">
        <x:v>50628.19999998808</x:v>
      </x:c>
      <x:c r="E8" s="24" t="n">
        <x:v>-0.03113565731258078</x:v>
      </x:c>
      <x:c r="F8" s="24" t="n">
        <x:f>IF(C8=0,0,-(D8-C8)/C8)</x:f>
        <x:v>0.03113565731258078</x:v>
      </x:c>
    </x:row>
    <x:row r="9">
      <x:c r="A9" t="n">
        <x:v>2</x:v>
      </x:c>
      <x:c r="B9" t="str">
        <x:v>max_latency_us</x:v>
      </x:c>
      <x:c r="C9" t="n">
        <x:v>73083.59999999404</x:v>
      </x:c>
      <x:c r="D9" t="n">
        <x:v>85973.39999997616</x:v>
      </x:c>
      <x:c r="E9" s="24" t="n">
        <x:v>0.17637062213661026</x:v>
      </x:c>
      <x:c r="F9" s="24" t="n">
        <x:f>IF(C9=0,0,-(D9-C9)/C9)</x:f>
        <x:v>-0.17637062213661026</x:v>
      </x:c>
    </x:row>
    <x:row r="10">
      <x:c r="A10" t="n">
        <x:v>2</x:v>
      </x:c>
      <x:c r="B10" t="str">
        <x:v>gc_spillover_requests</x:v>
      </x:c>
      <x:c r="C10" t="n">
        <x:v>30512</x:v>
      </x:c>
      <x:c r="D10" t="n">
        <x:v>27017</x:v>
      </x:c>
      <x:c r="E10" s="24" t="n">
        <x:v>-0.11454509701101206</x:v>
      </x:c>
      <x:c r="F10" s="24" t="n">
        <x:f>IF(C10=0,0,-(D10-C10)/C10)</x:f>
        <x:v>0.11454509701101206</x:v>
      </x:c>
    </x:row>
    <x:row r="11">
      <x:c r="A11" t="n">
        <x:v>4</x:v>
      </x:c>
      <x:c r="B11" t="str">
        <x:v>write_amplification_factor</x:v>
      </x:c>
      <x:c r="C11" t="n">
        <x:v>2.3935932676825638</x:v>
      </x:c>
      <x:c r="D11" t="n">
        <x:v>2.044496632951705</x:v>
      </x:c>
      <x:c r="E11" s="24" t="n">
        <x:v>-0.14584626362558575</x:v>
      </x:c>
      <x:c r="F11" s="24" t="n">
        <x:f>IF(C11=0,0,-(D11-C11)/C11)</x:f>
        <x:v>0.14584626362558592</x:v>
      </x:c>
    </x:row>
    <x:row r="12">
      <x:c r="A12" t="n">
        <x:v>4</x:v>
      </x:c>
      <x:c r="B12" t="str">
        <x:v>valid_page_migrations</x:v>
      </x:c>
      <x:c r="C12" t="n">
        <x:v>156658</x:v>
      </x:c>
      <x:c r="D12" t="n">
        <x:v>117415</x:v>
      </x:c>
      <x:c r="E12" s="24" t="n">
        <x:v>-0.25050109154974526</x:v>
      </x:c>
      <x:c r="F12" s="24" t="n">
        <x:f>IF(C12=0,0,-(D12-C12)/C12)</x:f>
        <x:v>0.2505010915497453</x:v>
      </x:c>
    </x:row>
    <x:row r="13">
      <x:c r="A13" t="n">
        <x:v>4</x:v>
      </x:c>
      <x:c r="B13" t="str">
        <x:v>gc_count</x:v>
      </x:c>
      <x:c r="C13" t="n">
        <x:v>4204</x:v>
      </x:c>
      <x:c r="D13" t="n">
        <x:v>3591</x:v>
      </x:c>
      <x:c r="E13" s="24" t="n">
        <x:v>-0.14581351094196005</x:v>
      </x:c>
      <x:c r="F13" s="24" t="n">
        <x:f>IF(C13=0,0,-(D13-C13)/C13)</x:f>
        <x:v>0.14581351094196005</x:v>
      </x:c>
    </x:row>
    <x:row r="14">
      <x:c r="A14" t="n">
        <x:v>4</x:v>
      </x:c>
      <x:c r="B14" t="str">
        <x:v>avg_latency_us</x:v>
      </x:c>
      <x:c r="C14" t="n">
        <x:v>4489.555493999933</x:v>
      </x:c>
      <x:c r="D14" t="n">
        <x:v>3649.7134509999887</x:v>
      </x:c>
      <x:c r="E14" s="24" t="n">
        <x:v>-0.187065744954562</x:v>
      </x:c>
      <x:c r="F14" s="24" t="n">
        <x:f>IF(C14=0,0,-(D14-C14)/C14)</x:f>
        <x:v>0.18706574495456202</x:v>
      </x:c>
    </x:row>
    <x:row r="15">
      <x:c r="A15" t="n">
        <x:v>4</x:v>
      </x:c>
      <x:c r="B15" t="str">
        <x:v>p95_latency_us</x:v>
      </x:c>
      <x:c r="C15" t="n">
        <x:v>19319.29999999702</x:v>
      </x:c>
      <x:c r="D15" t="n">
        <x:v>17951.79999999702</x:v>
      </x:c>
      <x:c r="E15" s="24" t="n">
        <x:v>-0.07078413814166201</x:v>
      </x:c>
      <x:c r="F15" s="24" t="n">
        <x:f>IF(C15=0,0,-(D15-C15)/C15)</x:f>
        <x:v>0.07078413814166201</x:v>
      </x:c>
    </x:row>
    <x:row r="16">
      <x:c r="A16" t="n">
        <x:v>4</x:v>
      </x:c>
      <x:c r="B16" t="str">
        <x:v>p99_latency_us</x:v>
      </x:c>
      <x:c r="C16" t="n">
        <x:v>33209.199999999255</x:v>
      </x:c>
      <x:c r="D16" t="n">
        <x:v>29672.09999999404</x:v>
      </x:c>
      <x:c r="E16" s="24" t="n">
        <x:v>-0.1065096419066191</x:v>
      </x:c>
      <x:c r="F16" s="24" t="n">
        <x:f>IF(C16=0,0,-(D16-C16)/C16)</x:f>
        <x:v>0.10650964190661909</x:v>
      </x:c>
    </x:row>
    <x:row r="17">
      <x:c r="A17" t="n">
        <x:v>4</x:v>
      </x:c>
      <x:c r="B17" t="str">
        <x:v>p99_9_latency_us</x:v>
      </x:c>
      <x:c r="C17" t="n">
        <x:v>52255.19999998808</x:v>
      </x:c>
      <x:c r="D17" t="n">
        <x:v>49279.89999991655</x:v>
      </x:c>
      <x:c r="E17" s="24" t="n">
        <x:v>-0.056937874126827645</x:v>
      </x:c>
      <x:c r="F17" s="24" t="n">
        <x:f>IF(C17=0,0,-(D17-C17)/C17)</x:f>
        <x:v>0.05693787412682765</x:v>
      </x:c>
    </x:row>
    <x:row r="18">
      <x:c r="A18" t="n">
        <x:v>4</x:v>
      </x:c>
      <x:c r="B18" t="str">
        <x:v>max_latency_us</x:v>
      </x:c>
      <x:c r="C18" t="n">
        <x:v>73083.59999999404</x:v>
      </x:c>
      <x:c r="D18" t="n">
        <x:v>66053.39999997616</x:v>
      </x:c>
      <x:c r="E18" s="24" t="n">
        <x:v>-0.09619394775323675</x:v>
      </x:c>
      <x:c r="F18" s="24" t="n">
        <x:f>IF(C18=0,0,-(D18-C18)/C18)</x:f>
        <x:v>0.09619394775323677</x:v>
      </x:c>
    </x:row>
    <x:row r="19">
      <x:c r="A19" t="n">
        <x:v>4</x:v>
      </x:c>
      <x:c r="B19" t="str">
        <x:v>gc_spillover_requests</x:v>
      </x:c>
      <x:c r="C19" t="n">
        <x:v>30512</x:v>
      </x:c>
      <x:c r="D19" t="n">
        <x:v>23964</x:v>
      </x:c>
      <x:c r="E19" s="24" t="n">
        <x:v>-0.21460409019402202</x:v>
      </x:c>
      <x:c r="F19" s="24" t="n">
        <x:f>IF(C19=0,0,-(D19-C19)/C19)</x:f>
        <x:v>0.21460409019402202</x:v>
      </x:c>
    </x:row>
    <x:row r="20">
      <x:c r="A20" t="n">
        <x:v>8</x:v>
      </x:c>
      <x:c r="B20" t="str">
        <x:v>write_amplification_factor</x:v>
      </x:c>
      <x:c r="C20" t="n">
        <x:v>2.3935932676825638</x:v>
      </x:c>
      <x:c r="D20" t="n">
        <x:v>2.026945282129291</x:v>
      </x:c>
      <x:c r="E20" s="24" t="n">
        <x:v>-0.15317890073623688</x:v>
      </x:c>
      <x:c r="F20" s="24" t="n">
        <x:f>IF(C20=0,0,-(D20-C20)/C20)</x:f>
        <x:v>0.15317890073623705</x:v>
      </x:c>
    </x:row>
    <x:row r="21">
      <x:c r="A21" t="n">
        <x:v>8</x:v>
      </x:c>
      <x:c r="B21" t="str">
        <x:v>valid_page_migrations</x:v>
      </x:c>
      <x:c r="C21" t="n">
        <x:v>156658</x:v>
      </x:c>
      <x:c r="D21" t="n">
        <x:v>115442</x:v>
      </x:c>
      <x:c r="E21" s="24" t="n">
        <x:v>-0.2630954052777388</x:v>
      </x:c>
      <x:c r="F21" s="24" t="n">
        <x:f>IF(C21=0,0,-(D21-C21)/C21)</x:f>
        <x:v>0.2630954052777388</x:v>
      </x:c>
    </x:row>
    <x:row r="22">
      <x:c r="A22" t="n">
        <x:v>8</x:v>
      </x:c>
      <x:c r="B22" t="str">
        <x:v>gc_count</x:v>
      </x:c>
      <x:c r="C22" t="n">
        <x:v>4204</x:v>
      </x:c>
      <x:c r="D22" t="n">
        <x:v>3560</x:v>
      </x:c>
      <x:c r="E22" s="24" t="n">
        <x:v>-0.15318744053282587</x:v>
      </x:c>
      <x:c r="F22" s="24" t="n">
        <x:f>IF(C22=0,0,-(D22-C22)/C22)</x:f>
        <x:v>0.15318744053282587</x:v>
      </x:c>
    </x:row>
    <x:row r="23">
      <x:c r="A23" t="n">
        <x:v>8</x:v>
      </x:c>
      <x:c r="B23" t="str">
        <x:v>avg_latency_us</x:v>
      </x:c>
      <x:c r="C23" t="n">
        <x:v>4489.555493999933</x:v>
      </x:c>
      <x:c r="D23" t="n">
        <x:v>3586.8132319999504</x:v>
      </x:c>
      <x:c r="E23" s="24" t="n">
        <x:v>-0.2010760894272167</x:v>
      </x:c>
      <x:c r="F23" s="24" t="n">
        <x:f>IF(C23=0,0,-(D23-C23)/C23)</x:f>
        <x:v>0.2010760894272167</x:v>
      </x:c>
    </x:row>
    <x:row r="24">
      <x:c r="A24" t="n">
        <x:v>8</x:v>
      </x:c>
      <x:c r="B24" t="str">
        <x:v>p95_latency_us</x:v>
      </x:c>
      <x:c r="C24" t="n">
        <x:v>19319.29999999702</x:v>
      </x:c>
      <x:c r="D24" t="n">
        <x:v>17730.40000000596</x:v>
      </x:c>
      <x:c r="E24" s="24" t="n">
        <x:v>-0.08224418068932644</x:v>
      </x:c>
      <x:c r="F24" s="24" t="n">
        <x:f>IF(C24=0,0,-(D24-C24)/C24)</x:f>
        <x:v>0.08224418068932644</x:v>
      </x:c>
    </x:row>
    <x:row r="25">
      <x:c r="A25" t="n">
        <x:v>8</x:v>
      </x:c>
      <x:c r="B25" t="str">
        <x:v>p99_latency_us</x:v>
      </x:c>
      <x:c r="C25" t="n">
        <x:v>33209.199999999255</x:v>
      </x:c>
      <x:c r="D25" t="n">
        <x:v>26109.19999998808</x:v>
      </x:c>
      <x:c r="E25" s="24" t="n">
        <x:v>-0.2137961769633516</x:v>
      </x:c>
      <x:c r="F25" s="24" t="n">
        <x:f>IF(C25=0,0,-(D25-C25)/C25)</x:f>
        <x:v>0.21379617696335157</x:v>
      </x:c>
    </x:row>
    <x:row r="26">
      <x:c r="A26" t="n">
        <x:v>8</x:v>
      </x:c>
      <x:c r="B26" t="str">
        <x:v>p99_9_latency_us</x:v>
      </x:c>
      <x:c r="C26" t="n">
        <x:v>52255.19999998808</x:v>
      </x:c>
      <x:c r="D26" t="n">
        <x:v>45235.09999996424</x:v>
      </x:c>
      <x:c r="E26" s="24" t="n">
        <x:v>-0.13434261087940422</x:v>
      </x:c>
      <x:c r="F26" s="24" t="n">
        <x:f>IF(C26=0,0,-(D26-C26)/C26)</x:f>
        <x:v>0.13434261087940422</x:v>
      </x:c>
    </x:row>
    <x:row r="27">
      <x:c r="A27" t="n">
        <x:v>8</x:v>
      </x:c>
      <x:c r="B27" t="str">
        <x:v>max_latency_us</x:v>
      </x:c>
      <x:c r="C27" t="n">
        <x:v>73083.59999999404</x:v>
      </x:c>
      <x:c r="D27" t="n">
        <x:v>62311.5</x:v>
      </x:c>
      <x:c r="E27" s="24" t="n">
        <x:v>-0.1473942170335741</x:v>
      </x:c>
      <x:c r="F27" s="24" t="n">
        <x:f>IF(C27=0,0,-(D27-C27)/C27)</x:f>
        <x:v>0.14739421703357414</x:v>
      </x:c>
    </x:row>
    <x:row r="28">
      <x:c r="A28" t="n">
        <x:v>8</x:v>
      </x:c>
      <x:c r="B28" t="str">
        <x:v>gc_spillover_requests</x:v>
      </x:c>
      <x:c r="C28" t="n">
        <x:v>30512</x:v>
      </x:c>
      <x:c r="D28" t="n">
        <x:v>23963</x:v>
      </x:c>
      <x:c r="E28" s="24" t="n">
        <x:v>-0.21463686418458314</x:v>
      </x:c>
      <x:c r="F28" s="24" t="n">
        <x:f>IF(C28=0,0,-(D28-C28)/C28)</x:f>
        <x:v>0.2146368641845831</x:v>
      </x:c>
    </x:row>
  </x:sheetData>
  <x:pageMargins left="0.7" right="0.7" top="0.75" bottom="0.75" header="0.3" footer="0.3"/>
  <x:tableParts count="1">
    <x:tablePart xmlns:r="http://schemas.openxmlformats.org/officeDocument/2006/relationships" r:id="R49cd2d37195045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30" t="str">
        <x:v>Workload</x:v>
      </x:c>
      <x:c r="B1" s="31" t="str">
        <x:v>Hot Host Writes</x:v>
      </x:c>
      <x:c r="C1" s="31" t="str">
        <x:v>Cold Host Writes</x:v>
      </x:c>
      <x:c r="D1" s="31" t="str">
        <x:v>Hot Write Share</x:v>
      </x:c>
      <x:c r="E1" s="31" t="str">
        <x:v>Hot GC Migration</x:v>
      </x:c>
      <x:c r="F1" s="31" t="str">
        <x:v>Cold GC Migration</x:v>
      </x:c>
      <x:c r="G1" s="31" t="str">
        <x:v>Fallback Pages</x:v>
      </x:c>
      <x:c r="H1" s="31" t="str">
        <x:v>Promotions</x:v>
      </x:c>
      <x:c r="I1" s="31" t="str">
        <x:v>Demotions</x:v>
      </x:c>
      <x:c r="J1" s="31" t="str">
        <x:v>Final Hot LPNs</x:v>
      </x:c>
      <x:c r="K1" s="31" t="str">
        <x:v>Hot Blocks</x:v>
      </x:c>
      <x:c r="L1" s="31" t="str">
        <x:v>Cold Blocks</x:v>
      </x:c>
      <x:c r="M1" s="32" t="str">
        <x:v>Mixed Blocks</x:v>
      </x:c>
    </x:row>
    <x:row r="2">
      <x:c r="A2" s="33" t="str">
        <x:v>MSR prxy_1</x:v>
      </x:c>
      <x:c r="B2" s="33" t="n">
        <x:v>10308</x:v>
      </x:c>
      <x:c r="C2" s="33" t="n">
        <x:v>102105</x:v>
      </x:c>
      <x:c r="D2" s="35" t="n">
        <x:v>0.09169757946145018</x:v>
      </x:c>
      <x:c r="E2" s="33" t="n">
        <x:v>76</x:v>
      </x:c>
      <x:c r="F2" s="33" t="n">
        <x:v>115366</x:v>
      </x:c>
      <x:c r="G2" s="33" t="n">
        <x:v>0</x:v>
      </x:c>
      <x:c r="H2" s="33" t="n">
        <x:v>18</x:v>
      </x:c>
      <x:c r="I2" s="33" t="n">
        <x:v>18</x:v>
      </x:c>
      <x:c r="J2" s="33" t="n">
        <x:v>2</x:v>
      </x:c>
      <x:c r="K2" s="33" t="n">
        <x:v>1</x:v>
      </x:c>
      <x:c r="L2" s="33" t="n">
        <x:v>350</x:v>
      </x:c>
      <x:c r="M2" s="33" t="n">
        <x:v>0</x:v>
      </x:c>
    </x:row>
    <x:row r="3">
      <x:c r="A3" s="33" t="str">
        <x:v>Alibaba dev4</x:v>
      </x:c>
      <x:c r="B3" s="33" t="n">
        <x:v>59176</x:v>
      </x:c>
      <x:c r="C3" s="33" t="n">
        <x:v>55485</x:v>
      </x:c>
      <x:c r="D3" s="35" t="n">
        <x:v>0.5160952721500772</x:v>
      </x:c>
      <x:c r="E3" s="33" t="n">
        <x:v>43226</x:v>
      </x:c>
      <x:c r="F3" s="33" t="n">
        <x:v>108683</x:v>
      </x:c>
      <x:c r="G3" s="33" t="n">
        <x:v>0</x:v>
      </x:c>
      <x:c r="H3" s="33" t="n">
        <x:v>5571</x:v>
      </x:c>
      <x:c r="I3" s="33" t="n">
        <x:v>5571</x:v>
      </x:c>
      <x:c r="J3" s="33" t="n">
        <x:v>219</x:v>
      </x:c>
      <x:c r="K3" s="33" t="n">
        <x:v>72</x:v>
      </x:c>
      <x:c r="L3" s="33" t="n">
        <x:v>195</x:v>
      </x:c>
      <x:c r="M3" s="33" t="n">
        <x:v>0</x:v>
      </x:c>
    </x:row>
    <x:row r="4">
      <x:c r="A4" s="33" t="str">
        <x:v>Alibaba dev49</x:v>
      </x:c>
      <x:c r="B4" s="33" t="n">
        <x:v>5908</x:v>
      </x:c>
      <x:c r="C4" s="33" t="n">
        <x:v>210804</x:v>
      </x:c>
      <x:c r="D4" s="35" t="n">
        <x:v>0.027261988260917715</x:v>
      </x:c>
      <x:c r="E4" s="33" t="n">
        <x:v>1754</x:v>
      </x:c>
      <x:c r="F4" s="33" t="n">
        <x:v>195565</x:v>
      </x:c>
      <x:c r="G4" s="33" t="n">
        <x:v>0</x:v>
      </x:c>
      <x:c r="H4" s="33" t="n">
        <x:v>459</x:v>
      </x:c>
      <x:c r="I4" s="33" t="n">
        <x:v>459</x:v>
      </x:c>
      <x:c r="J4" s="33" t="n">
        <x:v>0</x:v>
      </x:c>
      <x:c r="K4" s="33" t="n">
        <x:v>1</x:v>
      </x:c>
      <x:c r="L4" s="33" t="n">
        <x:v>2135</x:v>
      </x:c>
      <x:c r="M4" s="33" t="n">
        <x:v>0</x:v>
      </x:c>
    </x:row>
    <x:row r="5">
      <x:c r="A5" s="33" t="str">
        <x:v>Alibaba dev740</x:v>
      </x:c>
      <x:c r="B5" s="33" t="n">
        <x:v>0</x:v>
      </x:c>
      <x:c r="C5" s="33" t="n">
        <x:v>347400</x:v>
      </x:c>
      <x:c r="D5" s="35" t="n">
        <x:v>0</x:v>
      </x:c>
      <x:c r="E5" s="33" t="n">
        <x:v>0</x:v>
      </x:c>
      <x:c r="F5" s="33" t="n">
        <x:v>0</x:v>
      </x:c>
      <x:c r="G5" s="33" t="n">
        <x:v>0</x:v>
      </x:c>
      <x:c r="H5" s="33" t="n">
        <x:v>0</x:v>
      </x:c>
      <x:c r="I5" s="33" t="n">
        <x:v>0</x:v>
      </x:c>
      <x:c r="J5" s="33" t="n">
        <x:v>0</x:v>
      </x:c>
      <x:c r="K5" s="33" t="n">
        <x:v>0</x:v>
      </x:c>
      <x:c r="L5" s="33" t="n">
        <x:v>5518</x:v>
      </x:c>
      <x:c r="M5" s="3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93e762f0214ebd"/>
  </x:tableParts>
</x:worksheet>
</file>